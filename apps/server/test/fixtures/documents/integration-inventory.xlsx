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ations" state="visible" r:id="rId4"/>
    <sheet sheetId="2" name="NFR" state="visible" r:id="rId5"/>
    <sheet sheetId="3" name="Catatan &amp; Asumsi" state="visible" r:id="rId6"/>
  </sheets>
  <calcPr calcId="171027"/>
</workbook>
</file>

<file path=xl/sharedStrings.xml><?xml version="1.0" encoding="utf-8"?>
<sst xmlns="http://schemas.openxmlformats.org/spreadsheetml/2006/main" count="64" uniqueCount="62">
  <si>
    <t>Inventaris Integrasi — Platform Pembayaran Digital (per 1 Okt 2026)</t>
  </si>
  <si>
    <t>ID</t>
  </si>
  <si>
    <t>Sistem</t>
  </si>
  <si>
    <t>Protokol</t>
  </si>
  <si>
    <t>Tanggal Go-Live</t>
  </si>
  <si>
    <t>Transaksi/Hari</t>
  </si>
  <si>
    <t>Ukuran Payload (KB)</t>
  </si>
  <si>
    <t>Volume Harian (KB)</t>
  </si>
  <si>
    <t>Catatan</t>
  </si>
  <si>
    <t>INT-01</t>
  </si>
  <si>
    <t>Midtrans</t>
  </si>
  <si>
    <t>REST/JSON</t>
  </si>
  <si>
    <t>Webhook + Snap API</t>
  </si>
  <si>
    <t>INT-02</t>
  </si>
  <si>
    <t>Core Banking</t>
  </si>
  <si>
    <t>ISO 8583</t>
  </si>
  <si>
    <t>Koneksi via VPN, port 7001</t>
  </si>
  <si>
    <t>INT-03</t>
  </si>
  <si>
    <t>SAP S/4HANA</t>
  </si>
  <si>
    <t>SFTP (CSV)</t>
  </si>
  <si>
    <t>Delimiter ; | encoding UTF-8</t>
  </si>
  <si>
    <t>INT-04</t>
  </si>
  <si>
    <t>Salesforce CRM</t>
  </si>
  <si>
    <t>REST</t>
  </si>
  <si>
    <r>
      <rPr>
        <b/>
      </rPr>
      <t>Prioritas: tinggi</t>
    </r>
    <r>
      <t xml:space="preserve"> — perlu OAuth 2.0</t>
    </r>
  </si>
  <si>
    <t>INT-05</t>
  </si>
  <si>
    <t>Layanan Notifikasi (café loyalty)</t>
  </si>
  <si>
    <t>Kafka</t>
  </si>
  <si>
    <t xml:space="preserve">Topik: payment.events
Retensi 7 hari</t>
  </si>
  <si>
    <t>Total</t>
  </si>
  <si>
    <t>Kategori</t>
  </si>
  <si>
    <t>Persyaratan</t>
  </si>
  <si>
    <t>Target</t>
  </si>
  <si>
    <t>Nilai Numerik</t>
  </si>
  <si>
    <t>Tanggal Review</t>
  </si>
  <si>
    <t>Status</t>
  </si>
  <si>
    <t>Skor</t>
  </si>
  <si>
    <t>Ketersediaan</t>
  </si>
  <si>
    <t>Uptime layanan pembayaran</t>
  </si>
  <si>
    <t>≥ 99,9%</t>
  </si>
  <si>
    <t>Disetujui</t>
  </si>
  <si>
    <t>Kinerja</t>
  </si>
  <si>
    <t>Latensi API p95</t>
  </si>
  <si>
    <t>≤ 300 ms</t>
  </si>
  <si>
    <t>Draf</t>
  </si>
  <si>
    <t>Keamanan</t>
  </si>
  <si>
    <t>Kepatuhan PCI-DSS</t>
  </si>
  <si>
    <t>Level 1</t>
  </si>
  <si>
    <t>Pemulihan</t>
  </si>
  <si>
    <t>RPO / RTO</t>
  </si>
  <si>
    <t>5 menit / 30 menit</t>
  </si>
  <si>
    <t>Ditinjau</t>
  </si>
  <si>
    <t>Skalabilitas</t>
  </si>
  <si>
    <t>Lonjakan beban Harbolnas</t>
  </si>
  <si>
    <t>5× beban normal</t>
  </si>
  <si>
    <t>Asumsi</t>
  </si>
  <si>
    <t>Penjelasan</t>
  </si>
  <si>
    <t>Kurs</t>
  </si>
  <si>
    <t>Biaya dihitung dalam Rupiah (IDR), tanpa PPN 11%</t>
  </si>
  <si>
    <t>Total volume harian (KB)</t>
  </si>
  <si>
    <t>Sumber data</t>
  </si>
  <si>
    <t>Wawancara dengan Tim Integrasi, 24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</si>
</sst>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%"/>
    <numFmt numFmtId="166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0" customWidth="1"/>
    <col min="2" max="2" width="34" customWidth="1"/>
    <col min="3" max="3" width="14" customWidth="1"/>
    <col min="4" max="5" width="16" customWidth="1"/>
    <col min="6" max="7" width="20" customWidth="1"/>
    <col min="8" max="8" width="4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t="s">
        <v>9</v>
      </c>
      <c r="B3" t="s">
        <v>10</v>
      </c>
      <c r="C3" t="s">
        <v>11</v>
      </c>
      <c r="D3" s="3">
        <v>46096</v>
      </c>
      <c r="E3">
        <v>12000</v>
      </c>
      <c r="F3">
        <v>4</v>
      </c>
      <c r="G3">
        <f>E3*F3</f>
        <v>48000</v>
      </c>
      <c r="H3" t="s">
        <v>12</v>
      </c>
    </row>
    <row r="4" spans="1:8" x14ac:dyDescent="0.25">
      <c r="A4" t="s">
        <v>13</v>
      </c>
      <c r="B4" t="s">
        <v>14</v>
      </c>
      <c r="C4" t="s">
        <v>15</v>
      </c>
      <c r="D4" s="3">
        <v>46113</v>
      </c>
      <c r="E4">
        <v>8500</v>
      </c>
      <c r="F4">
        <v>2</v>
      </c>
      <c r="G4">
        <f>E4*F4</f>
        <v>17000</v>
      </c>
      <c r="H4" t="s">
        <v>16</v>
      </c>
    </row>
    <row r="5" spans="1:8" x14ac:dyDescent="0.25">
      <c r="A5" t="s">
        <v>17</v>
      </c>
      <c r="B5" t="s">
        <v>18</v>
      </c>
      <c r="C5" t="s">
        <v>19</v>
      </c>
      <c r="D5" s="3">
        <v>46162</v>
      </c>
      <c r="E5">
        <v>1</v>
      </c>
      <c r="F5">
        <v>20480</v>
      </c>
      <c r="G5">
        <f>E5*F5</f>
        <v>20480</v>
      </c>
      <c r="H5" t="s">
        <v>20</v>
      </c>
    </row>
    <row r="7" spans="1:8" x14ac:dyDescent="0.25">
      <c r="A7" t="s">
        <v>21</v>
      </c>
      <c r="B7" t="s">
        <v>22</v>
      </c>
      <c r="C7" t="s">
        <v>23</v>
      </c>
      <c r="D7" s="3">
        <v>46203</v>
      </c>
      <c r="E7">
        <v>3000</v>
      </c>
      <c r="F7">
        <v>6</v>
      </c>
      <c r="G7">
        <f>E7*F7</f>
        <v>18000</v>
      </c>
      <c r="H7" t="s">
        <v>24</v>
      </c>
    </row>
    <row r="8" spans="1:8" x14ac:dyDescent="0.25">
      <c r="A8" t="s">
        <v>25</v>
      </c>
      <c r="B8" t="s">
        <v>26</v>
      </c>
      <c r="C8" t="s">
        <v>27</v>
      </c>
      <c r="D8" s="3">
        <v>46204</v>
      </c>
      <c r="E8">
        <v>25000</v>
      </c>
      <c r="F8">
        <v>1.5</v>
      </c>
      <c r="G8">
        <f>E8*F8</f>
        <v>37500</v>
      </c>
      <c r="H8" s="4" t="s">
        <v>28</v>
      </c>
    </row>
    <row r="9" spans="1:7" x14ac:dyDescent="0.25">
      <c r="A9" s="2" t="s">
        <v>29</v>
      </c>
      <c r="E9">
        <f>SUM(E3:E8)</f>
        <v>48501</v>
      </c>
      <c r="G9">
        <f>SUM(G3:G8)</f>
        <v>140980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6" customWidth="1"/>
    <col min="2" max="2" width="34" customWidth="1"/>
    <col min="3" max="3" width="22" customWidth="1"/>
    <col min="4" max="4" width="14" customWidth="1"/>
    <col min="5" max="5" width="16" customWidth="1"/>
    <col min="6" max="6" width="14" customWidth="1"/>
    <col min="7" max="7" width="10" customWidth="1"/>
  </cols>
  <sheetData>
    <row r="1" spans="1:7" s="2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25">
      <c r="A2" t="s">
        <v>37</v>
      </c>
      <c r="B2" t="s">
        <v>38</v>
      </c>
      <c r="C2" t="s">
        <v>39</v>
      </c>
      <c r="D2" s="5">
        <v>0.999</v>
      </c>
      <c r="E2" s="6">
        <v>46113</v>
      </c>
      <c r="F2" t="s">
        <v>40</v>
      </c>
      <c r="G2">
        <f>IF(F2="Disetujui",1,0)</f>
      </c>
    </row>
    <row r="3" spans="1:6" x14ac:dyDescent="0.25">
      <c r="A3" t="s">
        <v>41</v>
      </c>
      <c r="B3" t="s">
        <v>42</v>
      </c>
      <c r="C3" t="s">
        <v>43</v>
      </c>
      <c r="D3">
        <v>300</v>
      </c>
      <c r="E3" s="6">
        <v>46113</v>
      </c>
      <c r="F3" t="s">
        <v>44</v>
      </c>
    </row>
    <row r="4" spans="1:6" x14ac:dyDescent="0.25">
      <c r="A4" t="s">
        <v>45</v>
      </c>
      <c r="B4" t="s">
        <v>46</v>
      </c>
      <c r="C4" t="s">
        <v>47</v>
      </c>
      <c r="E4" s="6">
        <v>46120</v>
      </c>
      <c r="F4" t="s">
        <v>40</v>
      </c>
    </row>
    <row r="5" spans="1:6" x14ac:dyDescent="0.25">
      <c r="A5" t="s">
        <v>48</v>
      </c>
      <c r="B5" t="s">
        <v>49</v>
      </c>
      <c r="C5" t="s">
        <v>50</v>
      </c>
      <c r="D5">
        <v>5</v>
      </c>
      <c r="E5" s="6">
        <v>46120</v>
      </c>
      <c r="F5" t="s">
        <v>51</v>
      </c>
    </row>
    <row r="6" spans="1:6" x14ac:dyDescent="0.25">
      <c r="A6" t="s">
        <v>52</v>
      </c>
      <c r="B6" t="s">
        <v>53</v>
      </c>
      <c r="C6" t="s">
        <v>54</v>
      </c>
      <c r="D6">
        <v>5</v>
      </c>
      <c r="F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40" customWidth="1"/>
    <col min="2" max="2" width="60" customWidth="1"/>
  </cols>
  <sheetData>
    <row r="1" spans="1:2" s="2" customFormat="1" x14ac:dyDescent="0.25">
      <c r="A1" s="2" t="s">
        <v>55</v>
      </c>
      <c r="B1" s="2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>
        <f>Integrations!G9</f>
        <v>140980</v>
      </c>
    </row>
    <row r="4" spans="1:2" x14ac:dyDescent="0.25">
      <c r="A4" t="s">
        <v>60</v>
      </c>
      <c r="B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Integrations</vt:lpstr>
      <vt:lpstr>NFR</vt:lpstr>
      <vt:lpstr>Catatan &amp; Asumsi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Arsitektur Solusi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2026-10-07T05:34:02Z</dcterms:modified>
</cp:coreProperties>
</file>